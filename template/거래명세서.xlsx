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16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<sst xmlns="http://schemas.openxmlformats.org/spreadsheetml/2006/main" count="42" uniqueCount="36">
  <si>
    <t>거래명세서</t>
  </si>
  <si>
    <t>작성일자 : {{견적일자}}</t>
  </si>
  <si>
    <t>No : {{문서번호}}</t>
  </si>
  <si>
    <t xml:space="preserve">공
급
자</t>
  </si>
  <si>
    <t>등록번호</t>
  </si>
  <si>
    <t>120-86-30516</t>
  </si>
  <si>
    <t xml:space="preserve">공
급
받
는
자</t>
  </si>
  <si>
    <t>{{거래처_등록번호}}</t>
  </si>
  <si>
    <t>상호</t>
  </si>
  <si>
    <t>㈜오픈웍스</t>
  </si>
  <si>
    <t>성명</t>
  </si>
  <si>
    <t xml:space="preserve">  김기성</t>
  </si>
  <si>
    <t>{{거래처_상호}}</t>
  </si>
  <si>
    <t>{{거래처_대표자}}</t>
  </si>
  <si>
    <t>주소</t>
  </si>
  <si>
    <t xml:space="preserve">경기도 남양주시 다산순환로 20
B동 425호 (현대프리미어캠퍼스몰)</t>
  </si>
  <si>
    <t>{{거래처_주소}}</t>
  </si>
  <si>
    <t>업태</t>
  </si>
  <si>
    <t>건설업</t>
  </si>
  <si>
    <t>종목</t>
  </si>
  <si>
    <t>정보통신공사업</t>
  </si>
  <si>
    <t>{{거래처_업태}}</t>
  </si>
  <si>
    <t>{{거래처_종목}}</t>
  </si>
  <si>
    <t xml:space="preserve">품 목 </t>
  </si>
  <si>
    <t>단 위</t>
  </si>
  <si>
    <t>수 량</t>
  </si>
  <si>
    <t>단 가</t>
  </si>
  <si>
    <t>금 액</t>
  </si>
  <si>
    <t>비 고</t>
  </si>
  <si>
    <t>{{ITEM_START}}{{ITEM_ROW}}</t>
  </si>
  <si>
    <t>{{ITEM_END}}</t>
  </si>
  <si>
    <t>소 계</t>
  </si>
  <si>
    <t xml:space="preserve">특
기
사
항</t>
  </si>
  <si>
    <t>공 급 가 액</t>
  </si>
  <si>
    <t>부가가치세</t>
  </si>
  <si>
    <t>총     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</si>
</sst>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_);[Red](#,##0)"/>
    <numFmt numFmtId="165" formatCode="#,##0_ "/>
  </numFmts>
  <fonts count="8" x14ac:knownFonts="1">
    <font>
      <color theme="1"/>
      <family val="2"/>
      <scheme val="minor"/>
      <sz val="11"/>
      <name val="Calibri"/>
    </font>
    <font>
      <charset val="129"/>
      <color theme="1"/>
      <family val="3"/>
      <scheme val="minor"/>
      <sz val="11"/>
      <name val="맑은 고딕"/>
    </font>
    <font>
      <b/>
      <charset val="129"/>
      <color theme="1"/>
      <family val="3"/>
      <scheme val="minor"/>
      <sz val="11"/>
      <name val="맑은 고딕"/>
    </font>
    <font>
      <b/>
      <charset val="129"/>
      <color theme="1"/>
      <family val="3"/>
      <scheme val="minor"/>
      <sz val="26"/>
      <name val="맑은 고딕"/>
    </font>
    <font>
      <charset val="129"/>
      <color theme="1"/>
      <family val="3"/>
      <scheme val="minor"/>
      <sz val="12"/>
      <name val="맑은 고딕"/>
    </font>
    <font>
      <charset val="129"/>
      <color theme="1"/>
      <family val="3"/>
      <scheme val="minor"/>
      <sz val="10"/>
      <name val="맑은 고딕"/>
    </font>
    <font>
      <b/>
      <charset val="129"/>
      <color theme="1"/>
      <family val="3"/>
      <scheme val="minor"/>
      <sz val="12"/>
      <name val="맑은 고딕"/>
    </font>
    <font>
      <charset val="129"/>
      <color theme="1"/>
      <family val="3"/>
      <scheme val="minor"/>
      <sz val="9"/>
      <name val="맑은 고딕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164" fontId="6" fillId="0" borderId="11" xfId="0" applyNumberFormat="1" applyFont="1" applyBorder="1" applyAlignment="1">
      <alignment horizontal="center" vertical="center" wrapText="1"/>
    </xf>
    <xf numFmtId="164" fontId="6" fillId="0" borderId="11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 wrapText="1"/>
    </xf>
    <xf numFmtId="164" fontId="6" fillId="0" borderId="14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right" vertical="center"/>
    </xf>
    <xf numFmtId="164" fontId="4" fillId="0" borderId="20" xfId="0" applyNumberFormat="1" applyFont="1" applyBorder="1" applyAlignment="1">
      <alignment horizontal="right" vertical="center"/>
    </xf>
    <xf numFmtId="0" fontId="7" fillId="0" borderId="12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right" vertical="center"/>
    </xf>
    <xf numFmtId="164" fontId="4" fillId="0" borderId="23" xfId="0" applyNumberFormat="1" applyFont="1" applyBorder="1" applyAlignment="1">
      <alignment horizontal="right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164" fontId="4" fillId="0" borderId="26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165" fontId="4" fillId="0" borderId="11" xfId="0" applyNumberFormat="1" applyFont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627661</xdr:colOff>
      <xdr:row>3</xdr:row>
      <xdr:rowOff>16785</xdr:rowOff>
    </xdr:from>
    <xdr:ext cx="493575" cy="50739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"/>
  <sheetViews>
    <sheetView workbookViewId="0" zoomScale="85" zoomScaleNormal="85">
      <selection activeCell="L6" sqref="L6"/>
    </sheetView>
  </sheetViews>
  <sheetFormatPr defaultRowHeight="16.5" outlineLevelRow="0" outlineLevelCol="0" x14ac:dyDescent="0.3" customHeight="1"/>
  <cols>
    <col min="1" max="1" width="5.25" style="1" customWidth="1"/>
    <col min="2" max="2" width="9.25" style="1" customWidth="1"/>
    <col min="3" max="3" width="13.875" style="1" customWidth="1"/>
    <col min="4" max="4" width="9.25" style="1" customWidth="1"/>
    <col min="5" max="5" width="16.25" style="1" customWidth="1"/>
    <col min="6" max="6" width="5.25" style="2" customWidth="1"/>
    <col min="7" max="7" width="9.25" style="2" customWidth="1"/>
    <col min="8" max="8" width="12.125" style="2" customWidth="1"/>
    <col min="9" max="9" width="9.25" style="2" customWidth="1"/>
    <col min="10" max="10" width="20.5" style="1" customWidth="1"/>
    <col min="11" max="12" width="9" style="1" customWidth="1"/>
    <col min="13" max="13" width="11" style="1" customWidth="1"/>
    <col min="14" max="16384" width="9" style="1" customWidth="1"/>
  </cols>
  <sheetData>
    <row r="1" ht="51" customHeight="1" spans="1:10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ht="22.5" customHeight="1" spans="1:10" s="5" customFormat="1" x14ac:dyDescent="0.25">
      <c r="A2" s="6" t="s">
        <v>1</v>
      </c>
      <c r="B2" s="7"/>
      <c r="C2" s="7"/>
      <c r="D2" s="7"/>
      <c r="E2" s="7"/>
      <c r="F2" s="7"/>
      <c r="G2" s="7"/>
      <c r="H2" s="7"/>
      <c r="I2" s="8" t="s">
        <v>2</v>
      </c>
      <c r="J2" s="9"/>
    </row>
    <row r="3" ht="22.5" customHeight="1" spans="1:10" s="5" customFormat="1" x14ac:dyDescent="0.25">
      <c r="A3" s="10" t="s">
        <v>3</v>
      </c>
      <c r="B3" s="11" t="s">
        <v>4</v>
      </c>
      <c r="C3" s="12" t="s">
        <v>5</v>
      </c>
      <c r="D3" s="13"/>
      <c r="E3" s="14"/>
      <c r="F3" s="15" t="s">
        <v>6</v>
      </c>
      <c r="G3" s="16" t="s">
        <v>4</v>
      </c>
      <c r="H3" s="17" t="s">
        <v>7</v>
      </c>
      <c r="I3" s="18"/>
      <c r="J3" s="19"/>
    </row>
    <row r="4" ht="41.25" customHeight="1" spans="1:10" s="5" customFormat="1" x14ac:dyDescent="0.25">
      <c r="A4" s="20"/>
      <c r="B4" s="21" t="s">
        <v>8</v>
      </c>
      <c r="C4" s="22" t="s">
        <v>9</v>
      </c>
      <c r="D4" s="21" t="s">
        <v>10</v>
      </c>
      <c r="E4" s="23" t="s">
        <v>11</v>
      </c>
      <c r="F4" s="24"/>
      <c r="G4" s="25" t="s">
        <v>8</v>
      </c>
      <c r="H4" s="26" t="s">
        <v>12</v>
      </c>
      <c r="I4" s="25" t="s">
        <v>10</v>
      </c>
      <c r="J4" s="27" t="s">
        <v>13</v>
      </c>
    </row>
    <row r="5" ht="41.25" customHeight="1" spans="1:10" s="5" customFormat="1" x14ac:dyDescent="0.25">
      <c r="A5" s="20"/>
      <c r="B5" s="21" t="s">
        <v>14</v>
      </c>
      <c r="C5" s="28" t="s">
        <v>15</v>
      </c>
      <c r="D5" s="28"/>
      <c r="E5" s="28"/>
      <c r="F5" s="24"/>
      <c r="G5" s="25" t="s">
        <v>14</v>
      </c>
      <c r="H5" s="28" t="s">
        <v>16</v>
      </c>
      <c r="I5" s="28"/>
      <c r="J5" s="29"/>
    </row>
    <row r="6" ht="41.25" customHeight="1" spans="1:10" s="5" customFormat="1" x14ac:dyDescent="0.25">
      <c r="A6" s="30"/>
      <c r="B6" s="31" t="s">
        <v>17</v>
      </c>
      <c r="C6" s="32" t="s">
        <v>18</v>
      </c>
      <c r="D6" s="31" t="s">
        <v>19</v>
      </c>
      <c r="E6" s="32" t="s">
        <v>20</v>
      </c>
      <c r="F6" s="33"/>
      <c r="G6" s="34" t="s">
        <v>17</v>
      </c>
      <c r="H6" s="35" t="s">
        <v>21</v>
      </c>
      <c r="I6" s="34" t="s">
        <v>19</v>
      </c>
      <c r="J6" s="36" t="s">
        <v>22</v>
      </c>
    </row>
    <row r="7" ht="31.5" customHeight="1" spans="1:10" s="5" customFormat="1" x14ac:dyDescent="0.25">
      <c r="A7" s="37" t="s">
        <v>23</v>
      </c>
      <c r="B7" s="38"/>
      <c r="C7" s="38"/>
      <c r="D7" s="38" t="s">
        <v>24</v>
      </c>
      <c r="E7" s="38" t="s">
        <v>25</v>
      </c>
      <c r="F7" s="39" t="s">
        <v>26</v>
      </c>
      <c r="G7" s="39"/>
      <c r="H7" s="39" t="s">
        <v>27</v>
      </c>
      <c r="I7" s="39"/>
      <c r="J7" s="40" t="s">
        <v>28</v>
      </c>
    </row>
    <row r="8" ht="50.1" customHeight="1" spans="1:10" s="5" customFormat="1" x14ac:dyDescent="0.25">
      <c r="A8" s="41"/>
      <c r="B8" s="28"/>
      <c r="C8" s="28"/>
      <c r="D8" s="22"/>
      <c r="E8" s="22"/>
      <c r="F8" s="42"/>
      <c r="G8" s="42"/>
      <c r="H8" s="43"/>
      <c r="I8" s="43"/>
      <c r="J8" s="44" t="s">
        <v>29</v>
      </c>
    </row>
    <row r="9" ht="50.1" customHeight="1" spans="1:10" s="5" customFormat="1" x14ac:dyDescent="0.25">
      <c r="A9" s="41"/>
      <c r="B9" s="28"/>
      <c r="C9" s="28"/>
      <c r="D9" s="22"/>
      <c r="E9" s="22"/>
      <c r="F9" s="42"/>
      <c r="G9" s="42"/>
      <c r="H9" s="42"/>
      <c r="I9" s="42"/>
      <c r="J9" s="44"/>
    </row>
    <row r="10" ht="50.1" customHeight="1" spans="1:13" x14ac:dyDescent="0.25">
      <c r="A10" s="45"/>
      <c r="B10" s="22"/>
      <c r="C10" s="22"/>
      <c r="D10" s="22"/>
      <c r="E10" s="22"/>
      <c r="F10" s="42"/>
      <c r="G10" s="42"/>
      <c r="H10" s="42"/>
      <c r="I10" s="42"/>
      <c r="J10" s="44"/>
      <c r="M10" s="46"/>
    </row>
    <row r="11" ht="50.1" customHeight="1" spans="1:10" x14ac:dyDescent="0.25">
      <c r="A11" s="45"/>
      <c r="B11" s="22"/>
      <c r="C11" s="22"/>
      <c r="D11" s="22"/>
      <c r="E11" s="22"/>
      <c r="F11" s="42"/>
      <c r="G11" s="42"/>
      <c r="H11" s="42"/>
      <c r="I11" s="42"/>
      <c r="J11" s="44"/>
    </row>
    <row r="12" ht="50.1" customHeight="1" spans="1:10" x14ac:dyDescent="0.25">
      <c r="A12" s="45"/>
      <c r="B12" s="22"/>
      <c r="C12" s="22"/>
      <c r="D12" s="22"/>
      <c r="E12" s="22"/>
      <c r="F12" s="42"/>
      <c r="G12" s="42"/>
      <c r="H12" s="42"/>
      <c r="I12" s="42"/>
      <c r="J12" s="44"/>
    </row>
    <row r="13" ht="50.1" customHeight="1" spans="1:10" x14ac:dyDescent="0.25">
      <c r="A13" s="45"/>
      <c r="B13" s="22"/>
      <c r="C13" s="22"/>
      <c r="D13" s="22"/>
      <c r="E13" s="22"/>
      <c r="F13" s="42"/>
      <c r="G13" s="42"/>
      <c r="H13" s="42"/>
      <c r="I13" s="42"/>
      <c r="J13" s="44"/>
    </row>
    <row r="14" ht="50.1" customHeight="1" spans="1:10" x14ac:dyDescent="0.25">
      <c r="A14" s="45"/>
      <c r="B14" s="22"/>
      <c r="C14" s="22"/>
      <c r="D14" s="22"/>
      <c r="E14" s="22"/>
      <c r="F14" s="42"/>
      <c r="G14" s="42"/>
      <c r="H14" s="42"/>
      <c r="I14" s="42"/>
      <c r="J14" s="44"/>
    </row>
    <row r="15" ht="50.1" customHeight="1" spans="1:10" x14ac:dyDescent="0.25">
      <c r="A15" s="47"/>
      <c r="B15" s="48"/>
      <c r="C15" s="49"/>
      <c r="D15" s="22"/>
      <c r="E15" s="22"/>
      <c r="F15" s="50"/>
      <c r="G15" s="51"/>
      <c r="H15" s="50"/>
      <c r="I15" s="51"/>
      <c r="J15" s="44"/>
    </row>
    <row r="16" ht="50.1" customHeight="1" spans="1:10" x14ac:dyDescent="0.25">
      <c r="A16" s="52"/>
      <c r="B16" s="53"/>
      <c r="C16" s="54"/>
      <c r="D16" s="22"/>
      <c r="E16" s="22"/>
      <c r="F16" s="50"/>
      <c r="G16" s="51"/>
      <c r="H16" s="50"/>
      <c r="I16" s="51"/>
      <c r="J16" s="44"/>
    </row>
    <row r="17" ht="50.1" customHeight="1" spans="1:10" x14ac:dyDescent="0.25">
      <c r="A17" s="52"/>
      <c r="B17" s="53"/>
      <c r="C17" s="54"/>
      <c r="D17" s="22"/>
      <c r="E17" s="22"/>
      <c r="F17" s="50"/>
      <c r="G17" s="51"/>
      <c r="H17" s="50"/>
      <c r="I17" s="51"/>
      <c r="J17" s="44" t="s">
        <v>30</v>
      </c>
    </row>
    <row r="18" ht="30.75" customHeight="1" spans="1:10" x14ac:dyDescent="0.25">
      <c r="A18" s="55" t="s">
        <v>31</v>
      </c>
      <c r="B18" s="56"/>
      <c r="C18" s="56"/>
      <c r="D18" s="56"/>
      <c r="E18" s="56"/>
      <c r="F18" s="56"/>
      <c r="G18" s="56"/>
      <c r="H18" s="57">
        <f>SUM(H8:I17)</f>
        <v>3100000</v>
      </c>
      <c r="I18" s="58"/>
      <c r="J18" s="59"/>
    </row>
    <row r="19" ht="30.75" customHeight="1" spans="1:10" x14ac:dyDescent="0.25">
      <c r="A19" s="60" t="s">
        <v>32</v>
      </c>
      <c r="B19" s="61"/>
      <c r="C19" s="61"/>
      <c r="D19" s="61"/>
      <c r="E19" s="61"/>
      <c r="F19" s="61"/>
      <c r="G19" s="61"/>
      <c r="H19" s="15" t="s">
        <v>33</v>
      </c>
      <c r="I19" s="62">
        <f>H18</f>
        <v>3100000</v>
      </c>
      <c r="J19" s="63"/>
    </row>
    <row r="20" ht="30.75" customHeight="1" spans="1:10" x14ac:dyDescent="0.25">
      <c r="A20" s="64"/>
      <c r="B20" s="22"/>
      <c r="C20" s="22"/>
      <c r="D20" s="22"/>
      <c r="E20" s="22"/>
      <c r="F20" s="22"/>
      <c r="G20" s="22"/>
      <c r="H20" s="25" t="s">
        <v>34</v>
      </c>
      <c r="I20" s="65">
        <f>I19*0.1</f>
        <v>310000</v>
      </c>
      <c r="J20" s="66"/>
    </row>
    <row r="21" ht="30.75" customHeight="1" spans="1:10" x14ac:dyDescent="0.25">
      <c r="A21" s="67"/>
      <c r="B21" s="32"/>
      <c r="C21" s="32"/>
      <c r="D21" s="32"/>
      <c r="E21" s="32"/>
      <c r="F21" s="32"/>
      <c r="G21" s="32"/>
      <c r="H21" s="34" t="s">
        <v>35</v>
      </c>
      <c r="I21" s="35">
        <f>I19+I20</f>
        <v>3410000</v>
      </c>
      <c r="J21" s="68"/>
    </row>
  </sheetData>
  <mergeCells count="49">
    <mergeCell ref="A1:J1"/>
    <mergeCell ref="A2:H2"/>
    <mergeCell ref="I2:J2"/>
    <mergeCell ref="C3:E3"/>
    <mergeCell ref="H3:J3"/>
    <mergeCell ref="A3:A6"/>
    <mergeCell ref="F3:F6"/>
    <mergeCell ref="C5:E5"/>
    <mergeCell ref="H5:J5"/>
    <mergeCell ref="A7:C7"/>
    <mergeCell ref="F7:G7"/>
    <mergeCell ref="H7:I7"/>
    <mergeCell ref="A8:C8"/>
    <mergeCell ref="F8:G8"/>
    <mergeCell ref="H8:I8"/>
    <mergeCell ref="A9:C9"/>
    <mergeCell ref="F9:G9"/>
    <mergeCell ref="H9:I9"/>
    <mergeCell ref="A10:C10"/>
    <mergeCell ref="F10:G10"/>
    <mergeCell ref="H10:I10"/>
    <mergeCell ref="A11:C11"/>
    <mergeCell ref="F11:G11"/>
    <mergeCell ref="H11:I11"/>
    <mergeCell ref="A12:C12"/>
    <mergeCell ref="F12:G12"/>
    <mergeCell ref="H12:I12"/>
    <mergeCell ref="A13:C13"/>
    <mergeCell ref="F13:G13"/>
    <mergeCell ref="H13:I13"/>
    <mergeCell ref="A14:C14"/>
    <mergeCell ref="F14:G14"/>
    <mergeCell ref="H14:I14"/>
    <mergeCell ref="A15:C15"/>
    <mergeCell ref="F15:G15"/>
    <mergeCell ref="H15:I15"/>
    <mergeCell ref="A16:C16"/>
    <mergeCell ref="F16:G16"/>
    <mergeCell ref="H16:I16"/>
    <mergeCell ref="A17:C17"/>
    <mergeCell ref="F17:G17"/>
    <mergeCell ref="H17:I17"/>
    <mergeCell ref="A18:G18"/>
    <mergeCell ref="H18:J18"/>
    <mergeCell ref="B19:G21"/>
    <mergeCell ref="I19:J19"/>
    <mergeCell ref="A19:A21"/>
    <mergeCell ref="I20:J20"/>
    <mergeCell ref="I21:J21"/>
  </mergeCells>
  <printOptions horizontalCentered="1"/>
  <pageMargins left="0.3937007874015748" right="0.3937007874015748" top="0.7480314960629921" bottom="0.7480314960629921" header="0.31496062992125984" footer="0.31496062992125984"/>
  <pageSetup paperSize="9" orientation="portrait" horizontalDpi="4294967295" verticalDpi="4294967295" scale="7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2026-02-19T00:47:46Z</cp:lastPrinted>
  <dcterms:created xsi:type="dcterms:W3CDTF">2023-02-22T00:32:39Z</dcterms:created>
  <dcterms:modified xsi:type="dcterms:W3CDTF">2026-07-13T23:37:31Z</dcterms:modified>
</cp:coreProperties>
</file>